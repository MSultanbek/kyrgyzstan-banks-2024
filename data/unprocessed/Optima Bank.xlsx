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NK" sheetId="1" r:id="rId4"/>
    <sheet state="visible" name="Optima Bank" sheetId="2" r:id="rId5"/>
  </sheets>
  <definedNames/>
  <calcPr/>
</workbook>
</file>

<file path=xl/sharedStrings.xml><?xml version="1.0" encoding="utf-8"?>
<sst xmlns="http://schemas.openxmlformats.org/spreadsheetml/2006/main" count="67" uniqueCount="39">
  <si>
    <t>Оптима банк</t>
  </si>
  <si>
    <t>Показатель</t>
  </si>
  <si>
    <t>2024 (млн сом)</t>
  </si>
  <si>
    <t>2023 (млн сом)</t>
  </si>
  <si>
    <t>Комментарий / Расчёт</t>
  </si>
  <si>
    <t>Общие активы</t>
  </si>
  <si>
    <t>Из отчета о финансовом положении</t>
  </si>
  <si>
    <t>Общие обязательства</t>
  </si>
  <si>
    <t>Собственный капитал</t>
  </si>
  <si>
    <t>Доля капитала в активах (%)</t>
  </si>
  <si>
    <t>Чистая прибыль</t>
  </si>
  <si>
    <t>ROA (Return on Assets)</t>
  </si>
  <si>
    <t>Чистая прибыль / Активы</t>
  </si>
  <si>
    <t>ROE (Return on Equity)</t>
  </si>
  <si>
    <t>Чистая прибыль / Собственный капитал</t>
  </si>
  <si>
    <t>Процентные доходы</t>
  </si>
  <si>
    <t>По денежным потокам</t>
  </si>
  <si>
    <t>Процентные расходы</t>
  </si>
  <si>
    <t>Чистый процентный доход</t>
  </si>
  <si>
    <t>Расчетно</t>
  </si>
  <si>
    <t>Комиссионные доходы</t>
  </si>
  <si>
    <t>Комиссионные расходы</t>
  </si>
  <si>
    <t>Прочие операционные доходы</t>
  </si>
  <si>
    <t>Операции с валютой + прочие доходы</t>
  </si>
  <si>
    <t>Административные расходы</t>
  </si>
  <si>
    <t>Расходы на персонал и прочие общие расходы</t>
  </si>
  <si>
    <t>Операционная прибыль до налогообложения</t>
  </si>
  <si>
    <t>Доход минус расходы</t>
  </si>
  <si>
    <t>Кредитный портфель</t>
  </si>
  <si>
    <t>Юр. лица + физ. лица</t>
  </si>
  <si>
    <t>Кредитный портфель / Активы (%)</t>
  </si>
  <si>
    <t>Объем депозитов</t>
  </si>
  <si>
    <t>Отношение депозитов к кредитам (%)</t>
  </si>
  <si>
    <t>Темпы роста прибыли (%)</t>
  </si>
  <si>
    <t>−4.51%</t>
  </si>
  <si>
    <t>—</t>
  </si>
  <si>
    <t>Снижение прибыли</t>
  </si>
  <si>
    <t>Темпы роста активов (%)</t>
  </si>
  <si>
    <t>Темпы роста капитала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</si>
</sst>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8.57"/>
    <col customWidth="1" min="3" max="3" width="25.29"/>
    <col customWidth="1" min="4" max="4" width="47.57"/>
    <col customWidth="1" min="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>
        <v>73359.15</v>
      </c>
      <c r="C3" s="4">
        <v>59219.79</v>
      </c>
      <c r="D3" s="3" t="s">
        <v>6</v>
      </c>
    </row>
    <row r="4">
      <c r="A4" s="3" t="s">
        <v>7</v>
      </c>
      <c r="B4" s="4">
        <v>57402.28</v>
      </c>
      <c r="C4" s="4">
        <v>45208.23</v>
      </c>
    </row>
    <row r="5">
      <c r="A5" s="3" t="s">
        <v>8</v>
      </c>
      <c r="B5" s="4">
        <v>15956.87</v>
      </c>
      <c r="C5" s="4">
        <v>14011.56</v>
      </c>
    </row>
    <row r="6">
      <c r="A6" s="3" t="s">
        <v>9</v>
      </c>
      <c r="B6" s="5">
        <v>0.2175</v>
      </c>
      <c r="C6" s="5">
        <v>0.2366</v>
      </c>
    </row>
    <row r="7">
      <c r="A7" s="3" t="s">
        <v>10</v>
      </c>
      <c r="B7" s="4">
        <v>2659.31</v>
      </c>
      <c r="C7" s="4">
        <v>2785.12</v>
      </c>
    </row>
    <row r="8">
      <c r="A8" s="3" t="s">
        <v>11</v>
      </c>
      <c r="B8" s="5">
        <v>0.0363</v>
      </c>
      <c r="C8" s="5">
        <v>0.047</v>
      </c>
      <c r="D8" s="3" t="s">
        <v>12</v>
      </c>
    </row>
    <row r="9">
      <c r="A9" s="3" t="s">
        <v>13</v>
      </c>
      <c r="B9" s="5">
        <v>0.1667</v>
      </c>
      <c r="C9" s="5">
        <v>0.1988</v>
      </c>
      <c r="D9" s="3" t="s">
        <v>14</v>
      </c>
    </row>
    <row r="10">
      <c r="A10" s="3" t="s">
        <v>15</v>
      </c>
      <c r="B10" s="4">
        <v>4989.1</v>
      </c>
      <c r="C10" s="4">
        <v>4653.55</v>
      </c>
      <c r="D10" s="3" t="s">
        <v>16</v>
      </c>
    </row>
    <row r="11">
      <c r="A11" s="3" t="s">
        <v>17</v>
      </c>
      <c r="B11" s="3">
        <v>989.91</v>
      </c>
      <c r="C11" s="3">
        <v>771.17</v>
      </c>
    </row>
    <row r="12">
      <c r="A12" s="3" t="s">
        <v>18</v>
      </c>
      <c r="B12" s="4">
        <v>3999.19</v>
      </c>
      <c r="C12" s="4">
        <v>3882.38</v>
      </c>
      <c r="D12" s="3" t="s">
        <v>19</v>
      </c>
    </row>
    <row r="13">
      <c r="A13" s="3" t="s">
        <v>20</v>
      </c>
      <c r="B13" s="4">
        <v>2037.19</v>
      </c>
      <c r="C13" s="4">
        <v>2010.78</v>
      </c>
    </row>
    <row r="14">
      <c r="A14" s="3" t="s">
        <v>21</v>
      </c>
      <c r="B14" s="4">
        <v>1233.03</v>
      </c>
      <c r="C14" s="4">
        <v>1332.09</v>
      </c>
    </row>
    <row r="15">
      <c r="A15" s="3" t="s">
        <v>22</v>
      </c>
      <c r="B15" s="4">
        <v>1855.94</v>
      </c>
      <c r="C15" s="4">
        <v>1434.09</v>
      </c>
      <c r="D15" s="3" t="s">
        <v>23</v>
      </c>
    </row>
    <row r="16">
      <c r="A16" s="3" t="s">
        <v>24</v>
      </c>
      <c r="B16" s="4">
        <v>3636.29</v>
      </c>
      <c r="C16" s="4">
        <v>3002.95</v>
      </c>
      <c r="D16" s="3" t="s">
        <v>25</v>
      </c>
    </row>
    <row r="17">
      <c r="A17" s="3" t="s">
        <v>26</v>
      </c>
      <c r="B17" s="4">
        <v>3374.91</v>
      </c>
      <c r="C17" s="4">
        <v>3096.26</v>
      </c>
      <c r="D17" s="3" t="s">
        <v>27</v>
      </c>
    </row>
    <row r="18">
      <c r="A18" s="3" t="s">
        <v>28</v>
      </c>
      <c r="B18" s="4">
        <v>29855.92</v>
      </c>
      <c r="C18" s="4">
        <v>23066.34</v>
      </c>
      <c r="D18" s="3" t="s">
        <v>29</v>
      </c>
    </row>
    <row r="19">
      <c r="A19" s="3" t="s">
        <v>30</v>
      </c>
      <c r="B19" s="5">
        <v>0.407</v>
      </c>
      <c r="C19" s="5">
        <v>0.3895</v>
      </c>
    </row>
    <row r="20">
      <c r="A20" s="3" t="s">
        <v>31</v>
      </c>
      <c r="B20" s="4">
        <v>52054.92</v>
      </c>
      <c r="C20" s="4">
        <v>41527.42</v>
      </c>
      <c r="D20" s="3" t="s">
        <v>29</v>
      </c>
    </row>
    <row r="21" ht="15.75" customHeight="1">
      <c r="A21" s="3" t="s">
        <v>32</v>
      </c>
      <c r="B21" s="5">
        <v>1.7436</v>
      </c>
      <c r="C21" s="5">
        <v>1.7995</v>
      </c>
    </row>
    <row r="22" ht="15.75" customHeight="1">
      <c r="A22" s="3" t="s">
        <v>33</v>
      </c>
      <c r="B22" s="3" t="s">
        <v>34</v>
      </c>
      <c r="C22" s="3" t="s">
        <v>35</v>
      </c>
      <c r="D22" s="3" t="s">
        <v>36</v>
      </c>
    </row>
    <row r="23" ht="15.75" customHeight="1">
      <c r="A23" s="3" t="s">
        <v>37</v>
      </c>
      <c r="B23" s="6">
        <f>+23.87%</f>
        <v>0.2387</v>
      </c>
      <c r="C23" s="3" t="s">
        <v>35</v>
      </c>
    </row>
    <row r="24" ht="15.75" customHeight="1">
      <c r="A24" s="3" t="s">
        <v>38</v>
      </c>
      <c r="B24" s="6">
        <f>+13.88%</f>
        <v>0.1388</v>
      </c>
      <c r="C24" s="3" t="s">
        <v>35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1</v>
      </c>
      <c r="B1" s="7" t="s">
        <v>2</v>
      </c>
      <c r="C1" s="7" t="s">
        <v>3</v>
      </c>
    </row>
    <row r="2">
      <c r="A2" s="6" t="s">
        <v>5</v>
      </c>
      <c r="B2" s="6">
        <v>73359.15</v>
      </c>
      <c r="C2" s="6">
        <v>59219.79</v>
      </c>
    </row>
    <row r="3">
      <c r="A3" s="6" t="s">
        <v>7</v>
      </c>
      <c r="B3" s="6">
        <v>57402.28</v>
      </c>
      <c r="C3" s="6">
        <v>45208.23</v>
      </c>
    </row>
    <row r="4">
      <c r="A4" s="6" t="s">
        <v>8</v>
      </c>
      <c r="B4" s="6">
        <v>15956.87</v>
      </c>
      <c r="C4" s="6">
        <v>14011.56</v>
      </c>
    </row>
    <row r="5">
      <c r="A5" s="6" t="s">
        <v>9</v>
      </c>
      <c r="B5" s="6">
        <v>21.75</v>
      </c>
      <c r="C5" s="6">
        <v>23.66</v>
      </c>
    </row>
    <row r="6">
      <c r="A6" s="6" t="s">
        <v>10</v>
      </c>
      <c r="B6" s="6">
        <v>2659.31</v>
      </c>
      <c r="C6" s="6">
        <v>2785.12</v>
      </c>
    </row>
    <row r="7">
      <c r="A7" s="6" t="s">
        <v>11</v>
      </c>
      <c r="B7" s="6">
        <v>3.63</v>
      </c>
      <c r="C7" s="6">
        <v>4.7</v>
      </c>
    </row>
    <row r="8">
      <c r="A8" s="6" t="s">
        <v>13</v>
      </c>
      <c r="B8" s="6">
        <v>16.67</v>
      </c>
      <c r="C8" s="6">
        <v>19.88</v>
      </c>
    </row>
    <row r="9">
      <c r="A9" s="6" t="s">
        <v>15</v>
      </c>
      <c r="B9" s="6">
        <v>4989.1</v>
      </c>
      <c r="C9" s="6">
        <v>4653.55</v>
      </c>
    </row>
    <row r="10">
      <c r="A10" s="6" t="s">
        <v>17</v>
      </c>
      <c r="B10" s="6">
        <v>989.91</v>
      </c>
      <c r="C10" s="6">
        <v>771.17</v>
      </c>
    </row>
    <row r="11">
      <c r="A11" s="6" t="s">
        <v>18</v>
      </c>
      <c r="B11" s="6">
        <v>3999.19</v>
      </c>
      <c r="C11" s="6">
        <v>3882.38</v>
      </c>
    </row>
    <row r="12">
      <c r="A12" s="6" t="s">
        <v>20</v>
      </c>
      <c r="B12" s="6">
        <v>2037.19</v>
      </c>
      <c r="C12" s="6">
        <v>2010.78</v>
      </c>
    </row>
    <row r="13">
      <c r="A13" s="6" t="s">
        <v>21</v>
      </c>
      <c r="B13" s="6">
        <v>1233.03</v>
      </c>
      <c r="C13" s="6">
        <v>1332.09</v>
      </c>
    </row>
    <row r="14">
      <c r="A14" s="6" t="s">
        <v>22</v>
      </c>
      <c r="B14" s="6">
        <v>1855.94</v>
      </c>
      <c r="C14" s="6">
        <v>1434.09</v>
      </c>
    </row>
    <row r="15">
      <c r="A15" s="6" t="s">
        <v>24</v>
      </c>
      <c r="B15" s="6">
        <v>3636.29</v>
      </c>
      <c r="C15" s="6">
        <v>3002.95</v>
      </c>
    </row>
    <row r="16">
      <c r="A16" s="6" t="s">
        <v>26</v>
      </c>
      <c r="B16" s="6">
        <v>3374.91</v>
      </c>
      <c r="C16" s="6">
        <v>3096.26</v>
      </c>
    </row>
    <row r="17">
      <c r="A17" s="6" t="s">
        <v>28</v>
      </c>
      <c r="B17" s="6">
        <v>29855.92</v>
      </c>
      <c r="C17" s="6">
        <v>23066.34</v>
      </c>
    </row>
    <row r="18">
      <c r="A18" s="6" t="s">
        <v>30</v>
      </c>
      <c r="B18" s="6">
        <v>40.7</v>
      </c>
      <c r="C18" s="6">
        <v>38.95</v>
      </c>
    </row>
    <row r="19">
      <c r="A19" s="6" t="s">
        <v>31</v>
      </c>
      <c r="B19" s="6">
        <v>52054.92</v>
      </c>
      <c r="C19" s="6">
        <v>41527.42</v>
      </c>
    </row>
    <row r="20">
      <c r="A20" s="6" t="s">
        <v>32</v>
      </c>
      <c r="B20" s="6">
        <v>174.36</v>
      </c>
      <c r="C20" s="6">
        <v>179.95</v>
      </c>
    </row>
    <row r="21" ht="15.75" customHeight="1">
      <c r="A21" s="6" t="s">
        <v>33</v>
      </c>
      <c r="B21" s="6">
        <v>-4.51</v>
      </c>
    </row>
    <row r="22" ht="15.75" customHeight="1">
      <c r="A22" s="6" t="s">
        <v>37</v>
      </c>
      <c r="B22" s="6">
        <v>23.87</v>
      </c>
    </row>
    <row r="23" ht="15.75" customHeight="1">
      <c r="A23" s="6" t="s">
        <v>38</v>
      </c>
      <c r="B23" s="6">
        <v>13.88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