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<sst xmlns="http://schemas.openxmlformats.org/spreadsheetml/2006/main" count="35" uniqueCount="33">
  <si>
    <t>Мбанк</t>
  </si>
  <si>
    <t>2024 (млн сом)</t>
  </si>
  <si>
    <t>2023 (млн сом)</t>
  </si>
  <si>
    <t>Комментарий / Расчёт</t>
  </si>
  <si>
    <t>Общие активы</t>
  </si>
  <si>
    <t>Из баланса</t>
  </si>
  <si>
    <t>Общие обязательства</t>
  </si>
  <si>
    <t>Собственный капитал</t>
  </si>
  <si>
    <t>Доля капитала в активах (%)</t>
  </si>
  <si>
    <t>Собственный капитал / Активы</t>
  </si>
  <si>
    <t>Чистая прибыль</t>
  </si>
  <si>
    <t>ROA (Return on Assets)</t>
  </si>
  <si>
    <t>Чистая прибыль / Активы</t>
  </si>
  <si>
    <t>ROE (Return on Equity)</t>
  </si>
  <si>
    <t>Чистая прибыль / Собственный капитал</t>
  </si>
  <si>
    <t>Процентные доходы</t>
  </si>
  <si>
    <t>Процентные расходы</t>
  </si>
  <si>
    <t>Чистый процентный доход</t>
  </si>
  <si>
    <t>Расчетный показатель</t>
  </si>
  <si>
    <t>Комиссионные доходы</t>
  </si>
  <si>
    <t>Комиссионные расходы</t>
  </si>
  <si>
    <t>Прочие операционные доходы</t>
  </si>
  <si>
    <t>Административные расходы</t>
  </si>
  <si>
    <t>Операционная прибыль до налогообложения</t>
  </si>
  <si>
    <t>Кредитный портфель</t>
  </si>
  <si>
    <t>Кредитный портфель / Активы (%)</t>
  </si>
  <si>
    <t>Объем депозитов</t>
  </si>
  <si>
    <t>Отношение депозитов к кредитам (%)</t>
  </si>
  <si>
    <t>Темпы роста прибыли (%)</t>
  </si>
  <si>
    <t>—</t>
  </si>
  <si>
    <t>(300.90 - 250.74) / 250.74</t>
  </si>
  <si>
    <t>Темпы роста активов (%)</t>
  </si>
  <si>
    <t>Темпы роста капитала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</si>
</sst>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5"/>
    <col customWidth="1" min="2" max="2" width="21.75"/>
    <col customWidth="1" min="3" max="3" width="24.38"/>
    <col customWidth="1" min="4" max="4" width="51.0"/>
  </cols>
  <sheetData>
    <row r="1">
      <c r="A1" s="1"/>
      <c r="B1" s="2" t="s">
        <v>0</v>
      </c>
      <c r="E1" s="1"/>
    </row>
    <row r="2">
      <c r="A2" s="3"/>
      <c r="B2" s="3" t="s">
        <v>1</v>
      </c>
      <c r="C2" s="3" t="s">
        <v>2</v>
      </c>
      <c r="D2" s="3" t="s">
        <v>3</v>
      </c>
      <c r="E2" s="3"/>
      <c r="F2" s="3"/>
      <c r="G2" s="3"/>
      <c r="H2" s="1"/>
    </row>
    <row r="3">
      <c r="A3" s="1" t="s">
        <v>4</v>
      </c>
      <c r="B3" s="4">
        <v>11548.42</v>
      </c>
      <c r="C3" s="4">
        <v>9122.53</v>
      </c>
      <c r="D3" s="1" t="s">
        <v>5</v>
      </c>
      <c r="E3" s="1"/>
      <c r="F3" s="4"/>
      <c r="G3" s="4"/>
    </row>
    <row r="4">
      <c r="A4" s="1" t="s">
        <v>6</v>
      </c>
      <c r="B4" s="4">
        <v>9555.63</v>
      </c>
      <c r="C4" s="4">
        <v>7328.79</v>
      </c>
      <c r="D4" s="5"/>
    </row>
    <row r="5">
      <c r="A5" s="1" t="s">
        <v>7</v>
      </c>
      <c r="B5" s="4">
        <v>1992.79</v>
      </c>
      <c r="C5" s="4">
        <v>1793.74</v>
      </c>
      <c r="D5" s="5"/>
    </row>
    <row r="6">
      <c r="A6" s="1" t="s">
        <v>8</v>
      </c>
      <c r="B6" s="6">
        <v>0.1726</v>
      </c>
      <c r="C6" s="6">
        <v>0.1966</v>
      </c>
      <c r="D6" s="1" t="s">
        <v>9</v>
      </c>
    </row>
    <row r="7">
      <c r="A7" s="1" t="s">
        <v>10</v>
      </c>
      <c r="B7" s="1">
        <v>300.9</v>
      </c>
      <c r="C7" s="1">
        <v>250.74</v>
      </c>
      <c r="D7" s="5"/>
    </row>
    <row r="8">
      <c r="A8" s="1" t="s">
        <v>11</v>
      </c>
      <c r="B8" s="6">
        <v>0.0261</v>
      </c>
      <c r="C8" s="6">
        <v>0.0275</v>
      </c>
      <c r="D8" s="1" t="s">
        <v>12</v>
      </c>
    </row>
    <row r="9">
      <c r="A9" s="1" t="s">
        <v>13</v>
      </c>
      <c r="B9" s="6">
        <v>0.151</v>
      </c>
      <c r="C9" s="6">
        <v>0.1398</v>
      </c>
      <c r="D9" s="1" t="s">
        <v>14</v>
      </c>
    </row>
    <row r="10">
      <c r="A10" s="1" t="s">
        <v>15</v>
      </c>
      <c r="B10" s="4">
        <v>1573.26</v>
      </c>
      <c r="C10" s="4">
        <v>1304.29</v>
      </c>
      <c r="D10" s="5"/>
    </row>
    <row r="11">
      <c r="A11" s="1" t="s">
        <v>16</v>
      </c>
      <c r="B11" s="1">
        <v>518.04</v>
      </c>
      <c r="C11" s="1">
        <v>449.09</v>
      </c>
      <c r="D11" s="5"/>
    </row>
    <row r="12">
      <c r="A12" s="1" t="s">
        <v>17</v>
      </c>
      <c r="B12" s="4">
        <v>1055.22</v>
      </c>
      <c r="C12" s="1">
        <v>855.2</v>
      </c>
      <c r="D12" s="1" t="s">
        <v>18</v>
      </c>
    </row>
    <row r="13">
      <c r="A13" s="1" t="s">
        <v>19</v>
      </c>
      <c r="B13" s="1">
        <v>462.03</v>
      </c>
      <c r="C13" s="1">
        <v>389.73</v>
      </c>
      <c r="D13" s="5"/>
    </row>
    <row r="14">
      <c r="A14" s="1" t="s">
        <v>20</v>
      </c>
      <c r="B14" s="1">
        <v>118.6</v>
      </c>
      <c r="C14" s="1">
        <v>88.84</v>
      </c>
      <c r="D14" s="5"/>
    </row>
    <row r="15">
      <c r="A15" s="1" t="s">
        <v>21</v>
      </c>
      <c r="B15" s="1">
        <v>123.25</v>
      </c>
      <c r="C15" s="1">
        <v>100.37</v>
      </c>
      <c r="D15" s="5"/>
    </row>
    <row r="16">
      <c r="A16" s="1" t="s">
        <v>22</v>
      </c>
      <c r="B16" s="1">
        <v>790.52</v>
      </c>
      <c r="C16" s="1">
        <v>655.49</v>
      </c>
      <c r="D16" s="5"/>
    </row>
    <row r="17">
      <c r="A17" s="1" t="s">
        <v>23</v>
      </c>
      <c r="B17" s="1">
        <v>362.76</v>
      </c>
      <c r="C17" s="1">
        <v>296.91</v>
      </c>
      <c r="D17" s="5"/>
    </row>
    <row r="18">
      <c r="A18" s="1" t="s">
        <v>24</v>
      </c>
      <c r="B18" s="4">
        <v>8324.41</v>
      </c>
      <c r="C18" s="4">
        <v>6300.11</v>
      </c>
      <c r="D18" s="5"/>
    </row>
    <row r="19">
      <c r="A19" s="1" t="s">
        <v>25</v>
      </c>
      <c r="B19" s="6">
        <v>0.7208</v>
      </c>
      <c r="C19" s="6">
        <v>0.6906</v>
      </c>
      <c r="D19" s="5"/>
    </row>
    <row r="20">
      <c r="A20" s="1" t="s">
        <v>26</v>
      </c>
      <c r="B20" s="4">
        <v>7100.85</v>
      </c>
      <c r="C20" s="4">
        <v>5720.6</v>
      </c>
      <c r="D20" s="5"/>
    </row>
    <row r="21">
      <c r="A21" s="1" t="s">
        <v>27</v>
      </c>
      <c r="B21" s="6">
        <v>0.8529</v>
      </c>
      <c r="C21" s="6">
        <v>0.9079</v>
      </c>
      <c r="D21" s="5"/>
    </row>
    <row r="22">
      <c r="A22" s="1" t="s">
        <v>28</v>
      </c>
      <c r="B22" s="5">
        <f>+20%</f>
        <v>0.2</v>
      </c>
      <c r="C22" s="1" t="s">
        <v>29</v>
      </c>
      <c r="D22" s="1" t="s">
        <v>30</v>
      </c>
    </row>
    <row r="23">
      <c r="A23" s="1" t="s">
        <v>31</v>
      </c>
      <c r="B23" s="5">
        <f>+26.55%</f>
        <v>0.2655</v>
      </c>
      <c r="C23" s="1" t="s">
        <v>29</v>
      </c>
      <c r="D23" s="5"/>
    </row>
    <row r="24">
      <c r="A24" s="1" t="s">
        <v>32</v>
      </c>
      <c r="B24" s="5">
        <f>+11.1%</f>
        <v>0.111</v>
      </c>
      <c r="C24" s="1" t="s">
        <v>29</v>
      </c>
      <c r="D24" s="5"/>
    </row>
  </sheetData>
  <mergeCells count="1">
    <mergeCell ref="B1:D1"/>
  </mergeCells>
  <drawing r:id="rId1"/>
</worksheet>
</file>